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лёна\Desktop\papka\2 курс\аисд\"/>
    </mc:Choice>
  </mc:AlternateContent>
  <xr:revisionPtr revIDLastSave="0" documentId="8_{7242A93A-1974-46E7-B34C-C095ECE81D69}" xr6:coauthVersionLast="47" xr6:coauthVersionMax="47" xr10:uidLastSave="{00000000-0000-0000-0000-000000000000}"/>
  <bookViews>
    <workbookView xWindow="-108" yWindow="-108" windowWidth="23256" windowHeight="12456" xr2:uid="{ED809353-DAD9-D346-955B-1580EDECF76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0" i="1" l="1"/>
  <c r="Z11" i="1"/>
  <c r="Z12" i="1"/>
  <c r="Z13" i="1"/>
  <c r="Z14" i="1"/>
  <c r="Z9" i="1"/>
  <c r="Y3" i="1"/>
  <c r="Y4" i="1"/>
  <c r="Y5" i="1"/>
  <c r="Y6" i="1"/>
  <c r="Y7" i="1"/>
  <c r="Y8" i="1"/>
  <c r="Y9" i="1"/>
  <c r="Y10" i="1"/>
  <c r="Y11" i="1"/>
  <c r="Y12" i="1"/>
  <c r="Y2" i="1"/>
  <c r="Y1" i="1"/>
  <c r="Y14" i="1"/>
  <c r="Y13" i="1"/>
  <c r="C2" i="1"/>
  <c r="C3" i="1"/>
  <c r="C15" i="1"/>
  <c r="C8" i="1"/>
  <c r="C5" i="1"/>
  <c r="C4" i="1"/>
  <c r="C6" i="1"/>
  <c r="C14" i="1"/>
  <c r="C13" i="1"/>
  <c r="C11" i="1"/>
  <c r="C12" i="1"/>
  <c r="C10" i="1"/>
  <c r="C9" i="1"/>
  <c r="C7" i="1"/>
  <c r="B14" i="1"/>
  <c r="B15" i="1"/>
  <c r="B13" i="1"/>
  <c r="B12" i="1"/>
  <c r="B11" i="1"/>
  <c r="B9" i="1"/>
  <c r="B10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<sst xmlns="http://schemas.openxmlformats.org/spreadsheetml/2006/main" count="3" uniqueCount="3">
  <si>
    <t>Epsilon</t>
  </si>
  <si>
    <t>Brute Force</t>
  </si>
  <si>
    <t>Dichotomy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</si>
</sst>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"/>
    <numFmt numFmtId="165" formatCode="0.000000000"/>
    <numFmt numFmtId="166" formatCode="0.0000000000"/>
    <numFmt numFmtId="167" formatCode="0.00000000000"/>
  </numFmts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Brute Force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Brute Force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Лист1!$A$2:$A$15</c:f>
              <c:numCache>
                <c:formatCode>0.00E+00</c:formatCode>
                <c:ptCount val="14"/>
                <c:pt idx="0">
                  <c:v>1</c:v>
                </c:pt>
                <c:pt idx="1">
                  <c:v>0.5</c:v>
                </c:pt>
                <c:pt idx="2">
                  <c:v>0.25</c:v>
                </c:pt>
                <c:pt idx="3">
                  <c:v>0.125</c:v>
                </c:pt>
                <c:pt idx="4">
                  <c:v>6.25E-2</c:v>
                </c:pt>
                <c:pt idx="5">
                  <c:v>3.125E-2</c:v>
                </c:pt>
                <c:pt idx="6">
                  <c:v>1.5625E-2</c:v>
                </c:pt>
                <c:pt idx="7">
                  <c:v>7.8125E-3</c:v>
                </c:pt>
                <c:pt idx="8">
                  <c:v>3.90625E-3</c:v>
                </c:pt>
                <c:pt idx="9">
                  <c:v>1.95312E-3</c:v>
                </c:pt>
                <c:pt idx="10">
                  <c:v>9.7656200000000005E-4</c:v>
                </c:pt>
                <c:pt idx="11">
                  <c:v>4.8828100000000002E-4</c:v>
                </c:pt>
                <c:pt idx="12">
                  <c:v>2.4414100000000002E-4</c:v>
                </c:pt>
                <c:pt idx="13">
                  <c:v>1.2207E-4</c:v>
                </c:pt>
              </c:numCache>
            </c:numRef>
          </c:cat>
          <c:val>
            <c:numRef>
              <c:f>Лист1!$B$2:$B$15</c:f>
              <c:numCache>
                <c:formatCode>General</c:formatCode>
                <c:ptCount val="14"/>
                <c:pt idx="0">
                  <c:v>2.8354000000000001E-2</c:v>
                </c:pt>
                <c:pt idx="1">
                  <c:v>5.8269000000000001E-2</c:v>
                </c:pt>
                <c:pt idx="2">
                  <c:v>0.122058</c:v>
                </c:pt>
                <c:pt idx="3">
                  <c:v>0.241367</c:v>
                </c:pt>
                <c:pt idx="4">
                  <c:v>0.45491799999999999</c:v>
                </c:pt>
                <c:pt idx="5">
                  <c:v>0.83821299999999999</c:v>
                </c:pt>
                <c:pt idx="6">
                  <c:v>1.6931700000000001</c:v>
                </c:pt>
                <c:pt idx="7">
                  <c:v>3.3768570000000002</c:v>
                </c:pt>
                <c:pt idx="8">
                  <c:v>6.8486719999999996</c:v>
                </c:pt>
                <c:pt idx="9">
                  <c:v>13.380554</c:v>
                </c:pt>
                <c:pt idx="10">
                  <c:v>26.557925000000001</c:v>
                </c:pt>
                <c:pt idx="11">
                  <c:v>52.890123000000003</c:v>
                </c:pt>
                <c:pt idx="12">
                  <c:v>109.16091299999999</c:v>
                </c:pt>
                <c:pt idx="13">
                  <c:v>231.622871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3D-A543-90C5-E2D513703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5392015"/>
        <c:axId val="1275393727"/>
      </c:lineChart>
      <c:catAx>
        <c:axId val="1275392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Точность выполнения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5393727"/>
        <c:crosses val="autoZero"/>
        <c:auto val="1"/>
        <c:lblAlgn val="ctr"/>
        <c:lblOffset val="100"/>
        <c:noMultiLvlLbl val="0"/>
      </c:catAx>
      <c:valAx>
        <c:axId val="127539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Время выполнения,  мс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539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Dichotomy</a:t>
            </a:r>
          </a:p>
        </c:rich>
      </c:tx>
      <c:layout>
        <c:manualLayout>
          <c:xMode val="edge"/>
          <c:yMode val="edge"/>
          <c:x val="0.41643523318138159"/>
          <c:y val="2.6297189996852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Dichotomy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Лист1!$A$2:$A$15</c:f>
              <c:numCache>
                <c:formatCode>0.00E+00</c:formatCode>
                <c:ptCount val="14"/>
                <c:pt idx="0">
                  <c:v>1</c:v>
                </c:pt>
                <c:pt idx="1">
                  <c:v>0.5</c:v>
                </c:pt>
                <c:pt idx="2">
                  <c:v>0.25</c:v>
                </c:pt>
                <c:pt idx="3">
                  <c:v>0.125</c:v>
                </c:pt>
                <c:pt idx="4">
                  <c:v>6.25E-2</c:v>
                </c:pt>
                <c:pt idx="5">
                  <c:v>3.125E-2</c:v>
                </c:pt>
                <c:pt idx="6">
                  <c:v>1.5625E-2</c:v>
                </c:pt>
                <c:pt idx="7">
                  <c:v>7.8125E-3</c:v>
                </c:pt>
                <c:pt idx="8">
                  <c:v>3.90625E-3</c:v>
                </c:pt>
                <c:pt idx="9">
                  <c:v>1.95312E-3</c:v>
                </c:pt>
                <c:pt idx="10">
                  <c:v>9.7656200000000005E-4</c:v>
                </c:pt>
                <c:pt idx="11">
                  <c:v>4.8828100000000002E-4</c:v>
                </c:pt>
                <c:pt idx="12">
                  <c:v>2.4414100000000002E-4</c:v>
                </c:pt>
                <c:pt idx="13">
                  <c:v>1.2207E-4</c:v>
                </c:pt>
              </c:numCache>
            </c:numRef>
          </c:cat>
          <c:val>
            <c:numRef>
              <c:f>Лист1!$C$2:$C$14</c:f>
              <c:numCache>
                <c:formatCode>General</c:formatCode>
                <c:ptCount val="13"/>
                <c:pt idx="0">
                  <c:v>1.66E-4</c:v>
                </c:pt>
                <c:pt idx="1">
                  <c:v>2.2900000000000001E-4</c:v>
                </c:pt>
                <c:pt idx="2" formatCode="0.00000000">
                  <c:v>3.0899999999999998E-4</c:v>
                </c:pt>
                <c:pt idx="3" formatCode="0.0000000000">
                  <c:v>3.59E-4</c:v>
                </c:pt>
                <c:pt idx="4">
                  <c:v>4.06E-4</c:v>
                </c:pt>
                <c:pt idx="5" formatCode="0.00000000">
                  <c:v>4.3199999999999998E-4</c:v>
                </c:pt>
                <c:pt idx="6" formatCode="0.000000000">
                  <c:v>4.7199999999999998E-4</c:v>
                </c:pt>
                <c:pt idx="7">
                  <c:v>5.0500000000000002E-4</c:v>
                </c:pt>
                <c:pt idx="8" formatCode="0.000000000">
                  <c:v>5.4299999999999997E-4</c:v>
                </c:pt>
                <c:pt idx="9" formatCode="0.00000000000">
                  <c:v>6.0800000000000003E-4</c:v>
                </c:pt>
                <c:pt idx="10" formatCode="0.00000000000">
                  <c:v>6.1499999999999999E-4</c:v>
                </c:pt>
                <c:pt idx="11" formatCode="0.00000000000">
                  <c:v>6.7000000000000002E-4</c:v>
                </c:pt>
                <c:pt idx="12" formatCode="0.000000000">
                  <c:v>6.9999999999999999E-4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A2-E040-8024-E9A2F25FC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4815439"/>
        <c:axId val="1224817151"/>
      </c:lineChart>
      <c:catAx>
        <c:axId val="1224815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Точность выполнения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4817151"/>
        <c:crosses val="autoZero"/>
        <c:auto val="1"/>
        <c:lblAlgn val="ctr"/>
        <c:lblOffset val="100"/>
        <c:noMultiLvlLbl val="0"/>
      </c:catAx>
      <c:valAx>
        <c:axId val="122481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Время выполнения,  мс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6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24815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latin typeface="Times New Roman" panose="02020603050405020304" pitchFamily="18" charset="0"/>
                <a:cs typeface="Times New Roman" panose="02020603050405020304" pitchFamily="18" charset="0"/>
              </a:rPr>
              <a:t>Сравнение полного</a:t>
            </a:r>
            <a:r>
              <a:rPr lang="ru-RU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перебора и метода дихотомии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718630605956864"/>
          <c:y val="0.15208759124087595"/>
          <c:w val="0.80688090075697061"/>
          <c:h val="0.62395585953215704"/>
        </c:manualLayout>
      </c:layout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Brute Force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Лист1!$A$10:$A$15</c:f>
              <c:numCache>
                <c:formatCode>0.00E+00</c:formatCode>
                <c:ptCount val="6"/>
                <c:pt idx="0">
                  <c:v>3.90625E-3</c:v>
                </c:pt>
                <c:pt idx="1">
                  <c:v>1.95312E-3</c:v>
                </c:pt>
                <c:pt idx="2">
                  <c:v>9.7656200000000005E-4</c:v>
                </c:pt>
                <c:pt idx="3">
                  <c:v>4.8828100000000002E-4</c:v>
                </c:pt>
                <c:pt idx="4">
                  <c:v>2.4414100000000002E-4</c:v>
                </c:pt>
                <c:pt idx="5">
                  <c:v>1.2207E-4</c:v>
                </c:pt>
              </c:numCache>
            </c:numRef>
          </c:cat>
          <c:val>
            <c:numRef>
              <c:f>Лист1!$B$10:$B$15</c:f>
              <c:numCache>
                <c:formatCode>General</c:formatCode>
                <c:ptCount val="6"/>
                <c:pt idx="0">
                  <c:v>6.8486719999999996</c:v>
                </c:pt>
                <c:pt idx="1">
                  <c:v>13.380554</c:v>
                </c:pt>
                <c:pt idx="2">
                  <c:v>26.557925000000001</c:v>
                </c:pt>
                <c:pt idx="3">
                  <c:v>52.890123000000003</c:v>
                </c:pt>
                <c:pt idx="4">
                  <c:v>109.16091299999999</c:v>
                </c:pt>
                <c:pt idx="5">
                  <c:v>231.622871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1C-5C47-BB3E-2FDE4BF74BDF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Dichotomy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Лист1!$A$10:$A$15</c:f>
              <c:numCache>
                <c:formatCode>0.00E+00</c:formatCode>
                <c:ptCount val="6"/>
                <c:pt idx="0">
                  <c:v>3.90625E-3</c:v>
                </c:pt>
                <c:pt idx="1">
                  <c:v>1.95312E-3</c:v>
                </c:pt>
                <c:pt idx="2">
                  <c:v>9.7656200000000005E-4</c:v>
                </c:pt>
                <c:pt idx="3">
                  <c:v>4.8828100000000002E-4</c:v>
                </c:pt>
                <c:pt idx="4">
                  <c:v>2.4414100000000002E-4</c:v>
                </c:pt>
                <c:pt idx="5">
                  <c:v>1.2207E-4</c:v>
                </c:pt>
              </c:numCache>
            </c:numRef>
          </c:cat>
          <c:val>
            <c:numRef>
              <c:f>Лист1!$C$9:$C$14</c:f>
              <c:numCache>
                <c:formatCode>0.000000000</c:formatCode>
                <c:ptCount val="6"/>
                <c:pt idx="0" formatCode="General">
                  <c:v>5.0500000000000002E-4</c:v>
                </c:pt>
                <c:pt idx="1">
                  <c:v>5.4299999999999997E-4</c:v>
                </c:pt>
                <c:pt idx="2" formatCode="0.00000000000">
                  <c:v>6.0800000000000003E-4</c:v>
                </c:pt>
                <c:pt idx="3" formatCode="0.00000000000">
                  <c:v>6.1499999999999999E-4</c:v>
                </c:pt>
                <c:pt idx="4" formatCode="0.00000000000">
                  <c:v>6.7000000000000002E-4</c:v>
                </c:pt>
                <c:pt idx="5">
                  <c:v>6.9999999999999999E-4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1C-5C47-BB3E-2FDE4BF74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8806544"/>
        <c:axId val="1679083344"/>
      </c:lineChart>
      <c:catAx>
        <c:axId val="1678806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Точность выполнения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79083344"/>
        <c:crosses val="autoZero"/>
        <c:auto val="1"/>
        <c:lblAlgn val="ctr"/>
        <c:lblOffset val="100"/>
        <c:noMultiLvlLbl val="0"/>
      </c:catAx>
      <c:valAx>
        <c:axId val="167908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Время</a:t>
                </a:r>
                <a:r>
                  <a:rPr lang="ru-RU" sz="14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выполнения в миллисекундах</a:t>
                </a:r>
              </a:p>
              <a:p>
                <a:pPr>
                  <a:defRPr/>
                </a:pPr>
                <a:endParaRPr lang="ru-RU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7880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latin typeface="Times New Roman" panose="02020603050405020304" pitchFamily="18" charset="0"/>
                <a:cs typeface="Times New Roman" panose="02020603050405020304" pitchFamily="18" charset="0"/>
              </a:rPr>
              <a:t>Сравнение полного</a:t>
            </a:r>
            <a:r>
              <a:rPr lang="ru-RU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перебора и метода дихотомии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718630605956864"/>
          <c:y val="0.15208759124087595"/>
          <c:w val="0.80688090075697061"/>
          <c:h val="0.62395585953215704"/>
        </c:manualLayout>
      </c:layout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Brute Force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Лист1!$A$10:$A$15</c:f>
              <c:numCache>
                <c:formatCode>0.00E+00</c:formatCode>
                <c:ptCount val="6"/>
                <c:pt idx="0">
                  <c:v>3.90625E-3</c:v>
                </c:pt>
                <c:pt idx="1">
                  <c:v>1.95312E-3</c:v>
                </c:pt>
                <c:pt idx="2">
                  <c:v>9.7656200000000005E-4</c:v>
                </c:pt>
                <c:pt idx="3">
                  <c:v>4.8828100000000002E-4</c:v>
                </c:pt>
                <c:pt idx="4">
                  <c:v>2.4414100000000002E-4</c:v>
                </c:pt>
                <c:pt idx="5">
                  <c:v>1.2207E-4</c:v>
                </c:pt>
              </c:numCache>
            </c:numRef>
          </c:cat>
          <c:val>
            <c:numRef>
              <c:f>Лист1!$Y$9:$Y$14</c:f>
              <c:numCache>
                <c:formatCode>General</c:formatCode>
                <c:ptCount val="6"/>
                <c:pt idx="0">
                  <c:v>6.8486719999999996</c:v>
                </c:pt>
                <c:pt idx="1">
                  <c:v>13.380554</c:v>
                </c:pt>
                <c:pt idx="2">
                  <c:v>26.557925000000001</c:v>
                </c:pt>
                <c:pt idx="3">
                  <c:v>52.890123000000003</c:v>
                </c:pt>
                <c:pt idx="4">
                  <c:v>109.16091299999999</c:v>
                </c:pt>
                <c:pt idx="5">
                  <c:v>231.622871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E4-4242-A9F7-081487BF621E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Dichotomy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Лист1!$A$10:$A$15</c:f>
              <c:numCache>
                <c:formatCode>0.00E+00</c:formatCode>
                <c:ptCount val="6"/>
                <c:pt idx="0">
                  <c:v>3.90625E-3</c:v>
                </c:pt>
                <c:pt idx="1">
                  <c:v>1.95312E-3</c:v>
                </c:pt>
                <c:pt idx="2">
                  <c:v>9.7656200000000005E-4</c:v>
                </c:pt>
                <c:pt idx="3">
                  <c:v>4.8828100000000002E-4</c:v>
                </c:pt>
                <c:pt idx="4">
                  <c:v>2.4414100000000002E-4</c:v>
                </c:pt>
                <c:pt idx="5">
                  <c:v>1.2207E-4</c:v>
                </c:pt>
              </c:numCache>
            </c:numRef>
          </c:cat>
          <c:val>
            <c:numRef>
              <c:f>Лист1!$Z$9:$Z$14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16.399999999999999</c:v>
                </c:pt>
                <c:pt idx="3">
                  <c:v>18</c:v>
                </c:pt>
                <c:pt idx="4">
                  <c:v>31</c:v>
                </c:pt>
                <c:pt idx="5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E4-4242-A9F7-081487BF6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8806544"/>
        <c:axId val="1679083344"/>
      </c:lineChart>
      <c:catAx>
        <c:axId val="1678806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Точность выполнения алгоритма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79083344"/>
        <c:crosses val="autoZero"/>
        <c:auto val="1"/>
        <c:lblAlgn val="ctr"/>
        <c:lblOffset val="100"/>
        <c:noMultiLvlLbl val="0"/>
      </c:catAx>
      <c:valAx>
        <c:axId val="167908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Время</a:t>
                </a:r>
                <a:r>
                  <a:rPr lang="ru-RU" sz="14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выполнения в миллисекундах</a:t>
                </a:r>
              </a:p>
              <a:p>
                <a:pPr>
                  <a:defRPr/>
                </a:pPr>
                <a:endParaRPr lang="ru-RU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7880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654050</xdr:colOff>
      <xdr:row>1</xdr:row>
      <xdr:rowOff>152400</xdr:rowOff>
    </xdr:from>
    <xdr:to>
      <xdr:col>18</xdr:col>
      <xdr:colOff>663014</xdr:colOff>
      <xdr:row>17</xdr:row>
      <xdr:rowOff>121397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CF72187-73A8-C4DB-CE0E-3C55B04317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124882</xdr:colOff>
      <xdr:row>21</xdr:row>
      <xdr:rowOff>29633</xdr:rowOff>
    </xdr:from>
    <xdr:to>
      <xdr:col>19</xdr:col>
      <xdr:colOff>138197</xdr:colOff>
      <xdr:row>35</xdr:row>
      <xdr:rowOff>82481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54363A0-46D7-D687-7249-D130FF7E3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53</xdr:row>
      <xdr:rowOff>0</xdr:rowOff>
    </xdr:from>
    <xdr:to>
      <xdr:col>13</xdr:col>
      <xdr:colOff>2117</xdr:colOff>
      <xdr:row>74</xdr:row>
      <xdr:rowOff>141817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7FC0955-EC93-3145-AA9A-C3D5B29CF2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952499</xdr:colOff>
      <xdr:row>9</xdr:row>
      <xdr:rowOff>50801</xdr:rowOff>
    </xdr:from>
    <xdr:to>
      <xdr:col>10</xdr:col>
      <xdr:colOff>762000</xdr:colOff>
      <xdr:row>27</xdr:row>
      <xdr:rowOff>12700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3591045-32B2-E74C-891D-64D9C2D5F4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177A4-D9C8-D142-9464-8F024556FA2B}">
  <dimension ref="A1:AB15"/>
  <sheetViews>
    <sheetView tabSelected="1" zoomScale="44" zoomScaleNormal="82" workbookViewId="0">
      <selection activeCell="AA15" sqref="AA15"/>
    </sheetView>
  </sheetViews>
  <sheetFormatPr defaultColWidth="11.19921875" defaultRowHeight="15.6" x14ac:dyDescent="0.3"/>
  <cols>
    <col min="3" max="3" width="14.69921875" bestFit="1" customWidth="1"/>
    <col min="5" max="5" width="21.69921875" customWidth="1"/>
    <col min="26" max="26" width="13.796875" customWidth="1"/>
  </cols>
  <sheetData>
    <row r="1" spans="1:28" x14ac:dyDescent="0.3">
      <c r="A1" t="s">
        <v>0</v>
      </c>
      <c r="B1" t="s">
        <v>1</v>
      </c>
      <c r="C1" t="s">
        <v>2</v>
      </c>
      <c r="X1" s="1">
        <v>1</v>
      </c>
      <c r="Y1">
        <f>28354/10000000</f>
        <v>2.8354000000000001E-3</v>
      </c>
    </row>
    <row r="2" spans="1:28" x14ac:dyDescent="0.3">
      <c r="A2" s="1">
        <v>1</v>
      </c>
      <c r="B2">
        <f>28354/1000000</f>
        <v>2.8354000000000001E-2</v>
      </c>
      <c r="C2">
        <f>166/1000000</f>
        <v>1.66E-4</v>
      </c>
      <c r="X2" s="1">
        <v>0.5</v>
      </c>
      <c r="Y2">
        <f>58269/10000000</f>
        <v>5.8269000000000003E-3</v>
      </c>
    </row>
    <row r="3" spans="1:28" x14ac:dyDescent="0.3">
      <c r="A3" s="1">
        <v>0.5</v>
      </c>
      <c r="B3">
        <f>58269/1000000</f>
        <v>5.8269000000000001E-2</v>
      </c>
      <c r="C3">
        <f>229/1000000</f>
        <v>2.2900000000000001E-4</v>
      </c>
      <c r="X3" s="1">
        <v>0.25</v>
      </c>
      <c r="Y3">
        <f>122058/1000000</f>
        <v>0.122058</v>
      </c>
      <c r="AB3" s="2"/>
    </row>
    <row r="4" spans="1:28" x14ac:dyDescent="0.3">
      <c r="A4" s="1">
        <v>0.25</v>
      </c>
      <c r="B4">
        <f>122058/1000000</f>
        <v>0.122058</v>
      </c>
      <c r="C4" s="2">
        <f>309/1000000</f>
        <v>3.0899999999999998E-4</v>
      </c>
      <c r="X4" s="1">
        <v>0.125</v>
      </c>
      <c r="Y4">
        <f>241367/1000000</f>
        <v>0.241367</v>
      </c>
      <c r="AB4" s="4"/>
    </row>
    <row r="5" spans="1:28" x14ac:dyDescent="0.3">
      <c r="A5" s="1">
        <v>0.125</v>
      </c>
      <c r="B5">
        <f>241367/1000000</f>
        <v>0.241367</v>
      </c>
      <c r="C5" s="4">
        <f>359/1000000</f>
        <v>3.59E-4</v>
      </c>
      <c r="X5" s="1">
        <v>6.25E-2</v>
      </c>
      <c r="Y5">
        <f>454918/1000000</f>
        <v>0.45491799999999999</v>
      </c>
    </row>
    <row r="6" spans="1:28" x14ac:dyDescent="0.3">
      <c r="A6" s="1">
        <v>6.25E-2</v>
      </c>
      <c r="B6">
        <f>454918/1000000</f>
        <v>0.45491799999999999</v>
      </c>
      <c r="C6">
        <f>406/1000000</f>
        <v>4.06E-4</v>
      </c>
      <c r="X6" s="1">
        <v>3.125E-2</v>
      </c>
      <c r="Y6">
        <f>838213/1000000</f>
        <v>0.83821299999999999</v>
      </c>
      <c r="AB6" s="2"/>
    </row>
    <row r="7" spans="1:28" x14ac:dyDescent="0.3">
      <c r="A7" s="1">
        <v>3.125E-2</v>
      </c>
      <c r="B7">
        <f>838213/1000000</f>
        <v>0.83821299999999999</v>
      </c>
      <c r="C7" s="2">
        <f>432/1000000</f>
        <v>4.3199999999999998E-4</v>
      </c>
      <c r="X7" s="1">
        <v>1.5625E-2</v>
      </c>
      <c r="Y7">
        <f>1693170/1000000</f>
        <v>1.6931700000000001</v>
      </c>
      <c r="AB7" s="3"/>
    </row>
    <row r="8" spans="1:28" x14ac:dyDescent="0.3">
      <c r="A8" s="1">
        <v>1.5625E-2</v>
      </c>
      <c r="B8">
        <f>1693170/1000000</f>
        <v>1.6931700000000001</v>
      </c>
      <c r="C8" s="3">
        <f>472/1000000</f>
        <v>4.7199999999999998E-4</v>
      </c>
      <c r="X8" s="1">
        <v>7.8125E-3</v>
      </c>
      <c r="Y8">
        <f>3376857/1000000</f>
        <v>3.3768570000000002</v>
      </c>
    </row>
    <row r="9" spans="1:28" x14ac:dyDescent="0.3">
      <c r="A9" s="1">
        <v>7.8125E-3</v>
      </c>
      <c r="B9">
        <f>3376857/1000000</f>
        <v>3.3768570000000002</v>
      </c>
      <c r="C9">
        <f>505/1000000</f>
        <v>5.0500000000000002E-4</v>
      </c>
      <c r="X9" s="1">
        <v>3.90625E-3</v>
      </c>
      <c r="Y9">
        <f>6848672/1000000</f>
        <v>6.8486719999999996</v>
      </c>
      <c r="Z9">
        <f xml:space="preserve"> AA9 / 10</f>
        <v>5</v>
      </c>
      <c r="AA9">
        <v>50</v>
      </c>
      <c r="AB9" s="3"/>
    </row>
    <row r="10" spans="1:28" x14ac:dyDescent="0.3">
      <c r="A10" s="1">
        <v>3.90625E-3</v>
      </c>
      <c r="B10">
        <f>6848672/1000000</f>
        <v>6.8486719999999996</v>
      </c>
      <c r="C10" s="3">
        <f>543/1000000</f>
        <v>5.4299999999999997E-4</v>
      </c>
      <c r="X10" s="1">
        <v>1.95312E-3</v>
      </c>
      <c r="Y10">
        <f>13380554/1000000</f>
        <v>13.380554</v>
      </c>
      <c r="Z10">
        <f t="shared" ref="Z10:Z14" si="0" xml:space="preserve"> AA10 / 10</f>
        <v>10</v>
      </c>
      <c r="AA10">
        <v>100</v>
      </c>
      <c r="AB10" s="5"/>
    </row>
    <row r="11" spans="1:28" x14ac:dyDescent="0.3">
      <c r="A11" s="1">
        <v>1.95312E-3</v>
      </c>
      <c r="B11">
        <f>13380554/1000000</f>
        <v>13.380554</v>
      </c>
      <c r="C11" s="5">
        <f>608/1000000</f>
        <v>6.0800000000000003E-4</v>
      </c>
      <c r="X11" s="1">
        <v>9.7656200000000005E-4</v>
      </c>
      <c r="Y11">
        <f>26557925/1000000</f>
        <v>26.557925000000001</v>
      </c>
      <c r="Z11">
        <f t="shared" si="0"/>
        <v>16.399999999999999</v>
      </c>
      <c r="AA11">
        <v>164</v>
      </c>
      <c r="AB11" s="5"/>
    </row>
    <row r="12" spans="1:28" x14ac:dyDescent="0.3">
      <c r="A12" s="1">
        <v>9.7656200000000005E-4</v>
      </c>
      <c r="B12">
        <f>26557925/1000000</f>
        <v>26.557925000000001</v>
      </c>
      <c r="C12" s="5">
        <f>615/1000000</f>
        <v>6.1499999999999999E-4</v>
      </c>
      <c r="X12" s="1">
        <v>4.8828100000000002E-4</v>
      </c>
      <c r="Y12">
        <f>52890123/1000000</f>
        <v>52.890123000000003</v>
      </c>
      <c r="Z12">
        <f t="shared" si="0"/>
        <v>18</v>
      </c>
      <c r="AA12">
        <v>180</v>
      </c>
      <c r="AB12" s="5"/>
    </row>
    <row r="13" spans="1:28" x14ac:dyDescent="0.3">
      <c r="A13" s="1">
        <v>4.8828100000000002E-4</v>
      </c>
      <c r="B13">
        <f>52890123/1000000</f>
        <v>52.890123000000003</v>
      </c>
      <c r="C13" s="5">
        <f>670/1000000</f>
        <v>6.7000000000000002E-4</v>
      </c>
      <c r="X13" s="1">
        <v>2.4414100000000002E-4</v>
      </c>
      <c r="Y13">
        <f>109160913/1000000</f>
        <v>109.16091299999999</v>
      </c>
      <c r="Z13">
        <f t="shared" si="0"/>
        <v>31</v>
      </c>
      <c r="AA13">
        <v>310</v>
      </c>
      <c r="AB13" s="3"/>
    </row>
    <row r="14" spans="1:28" x14ac:dyDescent="0.3">
      <c r="A14" s="1">
        <v>2.4414100000000002E-4</v>
      </c>
      <c r="B14">
        <f>109160913/1000000</f>
        <v>109.16091299999999</v>
      </c>
      <c r="C14" s="3">
        <f>700/1000000</f>
        <v>6.9999999999999999E-4</v>
      </c>
      <c r="X14" s="1">
        <v>1.2207E-4</v>
      </c>
      <c r="Y14">
        <f>231622871/1000000</f>
        <v>231.622871</v>
      </c>
      <c r="Z14">
        <f t="shared" si="0"/>
        <v>47</v>
      </c>
      <c r="AA14">
        <v>470</v>
      </c>
      <c r="AB14" s="4"/>
    </row>
    <row r="15" spans="1:28" x14ac:dyDescent="0.3">
      <c r="A15" s="1">
        <v>1.2207E-4</v>
      </c>
      <c r="B15">
        <f>231622871/1000000</f>
        <v>231.622871</v>
      </c>
      <c r="C15" s="4">
        <f>7320/10000000</f>
        <v>7.3200000000000001E-4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Олег Нега</cp:lastModifiedBy>
  <dcterms:created xsi:type="dcterms:W3CDTF">2025-02-24T16:36:41Z</dcterms:created>
  <dcterms:modified xsi:type="dcterms:W3CDTF">2025-05-08T15:34:36Z</dcterms:modified>
</cp:coreProperties>
</file>